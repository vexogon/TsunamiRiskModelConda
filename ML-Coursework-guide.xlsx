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22-liu\Desktop\"/>
    </mc:Choice>
  </mc:AlternateContent>
  <xr:revisionPtr revIDLastSave="0" documentId="13_ncr:1_{D5C0D533-0014-49E7-B27A-F9C3714DBF70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cover" sheetId="7" r:id="rId1"/>
    <sheet name="dataUnderstand" sheetId="8" r:id="rId2"/>
    <sheet name="dataEDA" sheetId="1" r:id="rId3"/>
    <sheet name="train" sheetId="2" r:id="rId4"/>
    <sheet name="Eval-forClassification" sheetId="3" r:id="rId5"/>
    <sheet name="Reflection and Ethics" sheetId="4" r:id="rId6"/>
    <sheet name="Novel" sheetId="5" r:id="rId7"/>
    <sheet name="example of research questions" sheetId="6" r:id="rId8"/>
    <sheet name="jupyternotebook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8" l="1"/>
  <c r="D18" i="8"/>
  <c r="F14" i="4"/>
  <c r="F12" i="4"/>
  <c r="C12" i="5"/>
  <c r="C22" i="3"/>
  <c r="C26" i="2"/>
  <c r="C33" i="1"/>
  <c r="C9" i="5"/>
  <c r="C19" i="3"/>
  <c r="C24" i="2"/>
  <c r="C31" i="1"/>
</calcChain>
</file>

<file path=xl/sharedStrings.xml><?xml version="1.0" encoding="utf-8"?>
<sst xmlns="http://schemas.openxmlformats.org/spreadsheetml/2006/main" count="177" uniqueCount="132">
  <si>
    <t>When</t>
  </si>
  <si>
    <t>What</t>
  </si>
  <si>
    <t>comment</t>
  </si>
  <si>
    <t>data summarization using python</t>
  </si>
  <si>
    <t>correctly calculate the number of rows and columns</t>
  </si>
  <si>
    <t>stats (min,max, mean, std...) of each real value column</t>
  </si>
  <si>
    <t>week2-3</t>
  </si>
  <si>
    <t>missing data identification and treatment</t>
  </si>
  <si>
    <t>correctly diagnose if there are missing data or not using python</t>
  </si>
  <si>
    <t>which column(s) have missing data, how many percentages are missed</t>
  </si>
  <si>
    <t>missing data treatment with at least one method. missing value imputation methods should be justified</t>
  </si>
  <si>
    <t xml:space="preserve">create new dataframe(s) with imputed values. </t>
  </si>
  <si>
    <t>week3</t>
  </si>
  <si>
    <t>encode categorical data</t>
  </si>
  <si>
    <t>data visualization</t>
  </si>
  <si>
    <t>histogram of each feature and target, other data visualizations</t>
  </si>
  <si>
    <t>data representation/balance-imbalance discussion</t>
  </si>
  <si>
    <t>any groups are under represented and what impacts are they going to have on your ML tasks</t>
  </si>
  <si>
    <t>week4</t>
  </si>
  <si>
    <t>sum:</t>
  </si>
  <si>
    <t>weighted sum</t>
  </si>
  <si>
    <t>sum</t>
  </si>
  <si>
    <t>week5</t>
  </si>
  <si>
    <t>Train and tune(improve) your models</t>
  </si>
  <si>
    <t>t1</t>
  </si>
  <si>
    <t>Based on your preprocessed data(use the best preprocessed methods you have discovered): select a model and let's name it model1</t>
  </si>
  <si>
    <t xml:space="preserve">model1 is justified(argue: why should you choose that model with regards to the project and the nature of the data, or other considertations you have identified). </t>
  </si>
  <si>
    <t>train and test subsets are correctly used (e.g.: using training subset for both training and evaluating is incorrect. )</t>
  </si>
  <si>
    <t>train and test subsets: consider Stratified Sampling. The percentages are justified, as well as discuss the sample (from each category) representation/proportion in train and test sets(from both feature and target perspective)</t>
  </si>
  <si>
    <t>model1 is executed with correct setups</t>
  </si>
  <si>
    <t>model1 is executed without error</t>
  </si>
  <si>
    <t>t2</t>
  </si>
  <si>
    <t>t3</t>
  </si>
  <si>
    <t>repeat training model1 for 10 times with different randstate for each run. Alternatively, you could use crossvalidation (justify if Stratified is needed)training scheme and run your experiments for 10 times</t>
  </si>
  <si>
    <t>t4</t>
  </si>
  <si>
    <t>save the 10times-runs result to the result file with good format for performing statistical test in the evaluation phase</t>
  </si>
  <si>
    <t>repeat t1-t4 on another model, let's named it model2</t>
  </si>
  <si>
    <t>Based on your preprocessed data(use the best preprocessed methods you have discovered): select a model and let's name it model2</t>
  </si>
  <si>
    <t xml:space="preserve">model2 is justified(argue: why should you choose that model with regards to the project and the nature of the data, or other considertations you have identified). </t>
  </si>
  <si>
    <t>train and test subsets are correctly used (e.g.: using training subset for both training and evaluating is incorrect)</t>
  </si>
  <si>
    <t>repeat training model2 for 10 times with different randstate for each run. Alternatively, you could use crossvalidation (justify if Stratified is needed)training scheme and run your experiments for 10 times</t>
  </si>
  <si>
    <t>weighted sum:</t>
  </si>
  <si>
    <t>week6</t>
  </si>
  <si>
    <t>calculate the basic numbers(e.g.: accuracy) for all the models you have trained. Compare and discuss the results in depth</t>
  </si>
  <si>
    <t>calculate precision, recall,f1.  Compare and discuss the results in depth</t>
  </si>
  <si>
    <t>calculate AUC.  Compare and discuss the results in depth</t>
  </si>
  <si>
    <t>Investigate your model behaviour by visualization (e.g.: if applicable, plot train vs validation curves on the same graph)</t>
  </si>
  <si>
    <t>week7</t>
  </si>
  <si>
    <t>feature importance analysis</t>
  </si>
  <si>
    <t>display confusion matrix on testset. Compare and discuss the results in depth</t>
  </si>
  <si>
    <t>identify over-fitting</t>
  </si>
  <si>
    <t>calculate pvalue.  Compare and discuss the results in depth</t>
  </si>
  <si>
    <t>deliver the insights with appropriate tones based on the chosen audience</t>
  </si>
  <si>
    <t>week8</t>
  </si>
  <si>
    <t xml:space="preserve">the research questions are answered with statistic analysis together with critical insights </t>
  </si>
  <si>
    <t>limitations are identified together with discussion on future works</t>
  </si>
  <si>
    <t>extra justified evaluation practice</t>
  </si>
  <si>
    <t>https://www.acm.org/code-of-ethics</t>
  </si>
  <si>
    <t>hint: discuss ethical consideration per stage: data processing, training, evaluation</t>
  </si>
  <si>
    <t>Literature review on existing methods in the related fields</t>
  </si>
  <si>
    <t>Identify research gaps</t>
  </si>
  <si>
    <t>is model1 significantly better than model2?</t>
  </si>
  <si>
    <t>is normalization helpful?</t>
  </si>
  <si>
    <t>Comparing normalization and standardization, which one is better?</t>
  </si>
  <si>
    <t>which missing value imputation method is better?</t>
  </si>
  <si>
    <t>Comparing grid-search with random-search, which one gives better result (on which model) and which one is more time consuming(consider the trade-offs)?</t>
  </si>
  <si>
    <t>Which features are more important?</t>
  </si>
  <si>
    <t>According to literature review in this field, what are their dataset sizes? What features did they collect?What are the new findings in this study? Any contradictions comparing with existing research?</t>
  </si>
  <si>
    <t>Identify the errors in example1(train test split not using the same seed). Give curves only</t>
  </si>
  <si>
    <t>Identify the errors in example2(balancing introducing errors: duplication errors) give code</t>
  </si>
  <si>
    <t>is databalancing1 method effective? Is there any bias introducing by this method?</t>
  </si>
  <si>
    <t>justify: do we need to standardize or scale or normalize our data? If we need, save your processed data to new dataframe(s)</t>
  </si>
  <si>
    <t>Please refer to uwe policy</t>
  </si>
  <si>
    <t>World limit</t>
  </si>
  <si>
    <t>How to use this guide</t>
  </si>
  <si>
    <t xml:space="preserve">Each tab is corresponding to each marking grid category. </t>
  </si>
  <si>
    <t>Students are encouraged to explore other approaches rather than closely following the guide, as long as the solutions meet the marking criteria</t>
  </si>
  <si>
    <t>is standardization/scaling/normalization helpful?</t>
  </si>
  <si>
    <t>week1</t>
  </si>
  <si>
    <t>feature selection/reduction</t>
  </si>
  <si>
    <t>extra justified EDA/Data Processing if there are any</t>
  </si>
  <si>
    <t>correctly identify the missing type (optional)</t>
  </si>
  <si>
    <t>One advanced data visualization to solve the issue if there are any (optional)</t>
  </si>
  <si>
    <t>detect the issue in the basic plots if there are any(optional)</t>
  </si>
  <si>
    <t>import the data and correctly identify feature columns and target columns</t>
  </si>
  <si>
    <t xml:space="preserve">Improve and explore your model1: hyper-parameters are well explored with justification. </t>
  </si>
  <si>
    <t xml:space="preserve">Improve and explore your model2: hyper-parameters are well explored with justification. </t>
  </si>
  <si>
    <t>reflection on Data</t>
  </si>
  <si>
    <t>reflection on Evaluation</t>
  </si>
  <si>
    <t>reflection on Model selection and Training</t>
  </si>
  <si>
    <t>innovate a new model or investigate new perspectives</t>
  </si>
  <si>
    <t>Propose and justify new ML methods or new investigation perspectives</t>
  </si>
  <si>
    <t>Implement the new method(s) with functions that can take in dummy data; or design experiments steps to investigate</t>
  </si>
  <si>
    <t>Implement the evaluation method(s) to test the function or test the experiments</t>
  </si>
  <si>
    <t>data standardization / normalization</t>
  </si>
  <si>
    <t>correctly encode categorical data and justify the choice</t>
  </si>
  <si>
    <t>show insights of each graph, explaint each graph's value to next steps</t>
  </si>
  <si>
    <t>Tasks</t>
  </si>
  <si>
    <t>Week 1</t>
  </si>
  <si>
    <t>Dataset context and origin</t>
  </si>
  <si>
    <r>
      <t xml:space="preserve">- Identify and record </t>
    </r>
    <r>
      <rPr>
        <b/>
        <sz val="11"/>
        <color rgb="FF000000"/>
        <rFont val="Calibri"/>
        <family val="2"/>
        <charset val="1"/>
      </rPr>
      <t>where the dataset came from</t>
    </r>
    <r>
      <rPr>
        <sz val="11"/>
        <color rgb="FF000000"/>
        <rFont val="Calibri"/>
        <family val="2"/>
        <charset val="1"/>
      </rPr>
      <t xml:space="preserve"> (source, creator, collection method).</t>
    </r>
  </si>
  <si>
    <r>
      <t xml:space="preserve">- Describe </t>
    </r>
    <r>
      <rPr>
        <b/>
        <sz val="11"/>
        <color rgb="FF000000"/>
        <rFont val="Calibri"/>
        <family val="2"/>
        <charset val="1"/>
      </rPr>
      <t>why</t>
    </r>
    <r>
      <rPr>
        <sz val="11"/>
        <color rgb="FF000000"/>
        <rFont val="Calibri"/>
        <family val="2"/>
        <charset val="1"/>
      </rPr>
      <t xml:space="preserve"> the dataset was collected and </t>
    </r>
    <r>
      <rPr>
        <b/>
        <sz val="11"/>
        <color rgb="FF000000"/>
        <rFont val="Calibri"/>
        <family val="2"/>
        <charset val="1"/>
      </rPr>
      <t>who</t>
    </r>
    <r>
      <rPr>
        <sz val="11"/>
        <color rgb="FF000000"/>
        <rFont val="Calibri"/>
        <family val="2"/>
        <charset val="1"/>
      </rPr>
      <t xml:space="preserve"> it represents.</t>
    </r>
  </si>
  <si>
    <t>Week 2</t>
  </si>
  <si>
    <t>Data characteristics and structure</t>
  </si>
  <si>
    <r>
      <t xml:space="preserve">- Summarize the </t>
    </r>
    <r>
      <rPr>
        <b/>
        <sz val="11"/>
        <color rgb="FF000000"/>
        <rFont val="Calibri"/>
        <family val="2"/>
        <charset val="1"/>
      </rPr>
      <t>types of data</t>
    </r>
    <r>
      <rPr>
        <sz val="11"/>
        <color rgb="FF000000"/>
        <rFont val="Calibri"/>
        <family val="2"/>
        <charset val="1"/>
      </rPr>
      <t xml:space="preserve"> (numerical, categorical, text, image, etc.).</t>
    </r>
  </si>
  <si>
    <r>
      <t xml:space="preserve">- Explain the </t>
    </r>
    <r>
      <rPr>
        <b/>
        <sz val="11"/>
        <color rgb="FF000000"/>
        <rFont val="Calibri"/>
        <family val="2"/>
        <charset val="1"/>
      </rPr>
      <t>meaning of key features</t>
    </r>
    <r>
      <rPr>
        <sz val="11"/>
        <color rgb="FF000000"/>
        <rFont val="Calibri"/>
        <family val="2"/>
        <charset val="1"/>
      </rPr>
      <t xml:space="preserve"> and how they relate to the domain.</t>
    </r>
  </si>
  <si>
    <t>Week 3</t>
  </si>
  <si>
    <t>Data quality, limitations, and biases</t>
  </si>
  <si>
    <r>
      <t xml:space="preserve">- Identify </t>
    </r>
    <r>
      <rPr>
        <b/>
        <sz val="11"/>
        <color rgb="FF000000"/>
        <rFont val="Calibri"/>
        <family val="2"/>
        <charset val="1"/>
      </rPr>
      <t>possible data limitations</t>
    </r>
    <r>
      <rPr>
        <sz val="11"/>
        <color rgb="FF000000"/>
        <rFont val="Calibri"/>
        <family val="2"/>
        <charset val="1"/>
      </rPr>
      <t xml:space="preserve"> (e.g., incomplete coverage, outdated info, measurement errors).</t>
    </r>
  </si>
  <si>
    <r>
      <t xml:space="preserve">- Discuss </t>
    </r>
    <r>
      <rPr>
        <b/>
        <sz val="11"/>
        <color rgb="FF000000"/>
        <rFont val="Calibri"/>
        <family val="2"/>
        <charset val="1"/>
      </rPr>
      <t>biases</t>
    </r>
    <r>
      <rPr>
        <sz val="11"/>
        <color rgb="FF000000"/>
        <rFont val="Calibri"/>
        <family val="2"/>
        <charset val="1"/>
      </rPr>
      <t xml:space="preserve"> that may exist (sampling bias, collection bias, etc.).</t>
    </r>
  </si>
  <si>
    <r>
      <t xml:space="preserve">- Support your discussion with </t>
    </r>
    <r>
      <rPr>
        <b/>
        <sz val="11"/>
        <color rgb="FF000000"/>
        <rFont val="Calibri"/>
        <family val="2"/>
        <charset val="1"/>
      </rPr>
      <t>examples or evidence</t>
    </r>
    <r>
      <rPr>
        <sz val="11"/>
        <color rgb="FF000000"/>
        <rFont val="Calibri"/>
        <family val="2"/>
        <charset val="1"/>
      </rPr>
      <t xml:space="preserve"> from the data source or context.</t>
    </r>
  </si>
  <si>
    <t>Week 4</t>
  </si>
  <si>
    <t>Ethical and responsible data use</t>
  </si>
  <si>
    <r>
      <t xml:space="preserve">- Consider </t>
    </r>
    <r>
      <rPr>
        <b/>
        <sz val="11"/>
        <color rgb="FF000000"/>
        <rFont val="Calibri"/>
        <family val="2"/>
        <charset val="1"/>
      </rPr>
      <t>ethical issues</t>
    </r>
    <r>
      <rPr>
        <sz val="11"/>
        <color rgb="FF000000"/>
        <rFont val="Calibri"/>
        <family val="2"/>
        <charset val="1"/>
      </rPr>
      <t xml:space="preserve"> related to this dataset (e.g., privacy, consent, fairness, misuse).</t>
    </r>
  </si>
  <si>
    <r>
      <t xml:space="preserve">- Suggest </t>
    </r>
    <r>
      <rPr>
        <b/>
        <sz val="11"/>
        <color rgb="FF000000"/>
        <rFont val="Calibri"/>
        <family val="2"/>
        <charset val="1"/>
      </rPr>
      <t>practical steps</t>
    </r>
    <r>
      <rPr>
        <sz val="11"/>
        <color rgb="FF000000"/>
        <rFont val="Calibri"/>
        <family val="2"/>
        <charset val="1"/>
      </rPr>
      <t xml:space="preserve"> to ensure responsible handling (e.g., anonymization, transparency).</t>
    </r>
  </si>
  <si>
    <t>- Reflect briefly on how these concerns could affect your ML project.</t>
  </si>
  <si>
    <t>—</t>
  </si>
  <si>
    <t>TOTAL</t>
  </si>
  <si>
    <r>
      <t xml:space="preserve">- Explain the </t>
    </r>
    <r>
      <rPr>
        <b/>
        <sz val="11"/>
        <color rgb="FF000000"/>
        <rFont val="Calibri"/>
        <family val="2"/>
        <charset val="1"/>
      </rPr>
      <t>domain or topic area</t>
    </r>
    <r>
      <rPr>
        <sz val="11"/>
        <color rgb="FF000000"/>
        <rFont val="Calibri"/>
        <family val="2"/>
        <charset val="1"/>
      </rPr>
      <t xml:space="preserve"> (e.g., health, environment, finance).</t>
    </r>
  </si>
  <si>
    <t>Dataset purpose and target definition</t>
  </si>
  <si>
    <r>
      <t xml:space="preserve">- Identify and clearly state the </t>
    </r>
    <r>
      <rPr>
        <b/>
        <sz val="11"/>
        <color rgb="FF000000"/>
        <rFont val="Calibri"/>
        <family val="2"/>
        <charset val="1"/>
      </rPr>
      <t>target variable(s)</t>
    </r>
    <r>
      <rPr>
        <sz val="11"/>
        <color rgb="FF000000"/>
        <rFont val="Calibri"/>
        <family val="2"/>
        <charset val="1"/>
      </rPr>
      <t xml:space="preserve"> and </t>
    </r>
    <r>
      <rPr>
        <b/>
        <sz val="11"/>
        <color rgb="FF000000"/>
        <rFont val="Calibri"/>
        <family val="2"/>
        <charset val="1"/>
      </rPr>
      <t>feature variables</t>
    </r>
    <r>
      <rPr>
        <sz val="11"/>
        <color rgb="FF000000"/>
        <rFont val="Calibri"/>
        <family val="2"/>
        <charset val="1"/>
      </rPr>
      <t>.</t>
    </r>
  </si>
  <si>
    <r>
      <t xml:space="preserve">- Explain what the </t>
    </r>
    <r>
      <rPr>
        <b/>
        <sz val="11"/>
        <color rgb="FF000000"/>
        <rFont val="Calibri"/>
        <family val="2"/>
        <charset val="1"/>
      </rPr>
      <t>target</t>
    </r>
    <r>
      <rPr>
        <sz val="11"/>
        <color rgb="FF000000"/>
        <rFont val="Calibri"/>
        <family val="2"/>
        <charset val="1"/>
      </rPr>
      <t xml:space="preserve"> represents and why it’s important.</t>
    </r>
  </si>
  <si>
    <r>
      <t xml:space="preserve">- </t>
    </r>
    <r>
      <rPr>
        <b/>
        <sz val="11"/>
        <color rgb="FF000000"/>
        <rFont val="Calibri"/>
        <family val="2"/>
        <charset val="1"/>
      </rPr>
      <t>Map your task</t>
    </r>
    <r>
      <rPr>
        <sz val="11"/>
        <color rgb="FF000000"/>
        <rFont val="Calibri"/>
        <family val="2"/>
        <charset val="1"/>
      </rPr>
      <t xml:space="preserve"> (e.g., regression, classification, clustering) to the correct </t>
    </r>
    <r>
      <rPr>
        <b/>
        <sz val="11"/>
        <color rgb="FF000000"/>
        <rFont val="Calibri"/>
        <family val="2"/>
        <charset val="1"/>
      </rPr>
      <t>machine learning paradigm</t>
    </r>
    <r>
      <rPr>
        <sz val="11"/>
        <color rgb="FF000000"/>
        <rFont val="Calibri"/>
        <family val="2"/>
        <charset val="1"/>
      </rPr>
      <t>.</t>
    </r>
  </si>
  <si>
    <r>
      <t xml:space="preserve">- Justify </t>
    </r>
    <r>
      <rPr>
        <i/>
        <sz val="11"/>
        <color rgb="FF000000"/>
        <rFont val="Calibri"/>
        <family val="2"/>
        <charset val="1"/>
      </rPr>
      <t>why</t>
    </r>
    <r>
      <rPr>
        <sz val="11"/>
        <color rgb="FF000000"/>
        <rFont val="Calibri"/>
        <family val="2"/>
        <charset val="1"/>
      </rPr>
      <t xml:space="preserve"> this type of ML task is appropriate for your dataset.</t>
    </r>
  </si>
  <si>
    <r>
      <t xml:space="preserve">- Describe </t>
    </r>
    <r>
      <rPr>
        <b/>
        <sz val="11"/>
        <color rgb="FF000000"/>
        <rFont val="Calibri"/>
        <family val="2"/>
        <charset val="1"/>
      </rPr>
      <t>relationships you expect to see among variables (before EDA)</t>
    </r>
    <r>
      <rPr>
        <sz val="11"/>
        <color rgb="FF000000"/>
        <rFont val="Calibri"/>
        <family val="2"/>
        <charset val="1"/>
      </rPr>
      <t>.</t>
    </r>
  </si>
  <si>
    <t>Weight</t>
  </si>
  <si>
    <t>weights</t>
  </si>
  <si>
    <t>reflection on Learning knowledge, skills and problem solving skills</t>
  </si>
  <si>
    <t>reflection on learning to learn</t>
  </si>
  <si>
    <t>raw</t>
  </si>
  <si>
    <t>5 points</t>
  </si>
  <si>
    <t>weighted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</si>
</sst>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A5ED-5EF6-42AF-BA1E-CC382238A4F8}">
  <dimension ref="A1:B3"/>
  <sheetViews>
    <sheetView workbookViewId="0">
      <selection activeCell="J7" sqref="J7"/>
    </sheetView>
  </sheetViews>
  <sheetFormatPr defaultRowHeight="14.5" x14ac:dyDescent="0.35"/>
  <cols>
    <col min="1" max="1" width="15.453125" customWidth="1"/>
  </cols>
  <sheetData>
    <row r="1" spans="1:2" x14ac:dyDescent="0.35">
      <c r="A1" t="s">
        <v>73</v>
      </c>
      <c r="B1" t="s">
        <v>72</v>
      </c>
    </row>
    <row r="2" spans="1:2" x14ac:dyDescent="0.35">
      <c r="A2" t="s">
        <v>74</v>
      </c>
      <c r="B2" t="s">
        <v>75</v>
      </c>
    </row>
    <row r="3" spans="1:2" x14ac:dyDescent="0.35">
      <c r="B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E21E-6A88-4E28-967E-414B289B1A96}">
  <dimension ref="A1:D20"/>
  <sheetViews>
    <sheetView tabSelected="1" topLeftCell="A8" workbookViewId="0">
      <selection activeCell="C22" sqref="C22"/>
    </sheetView>
  </sheetViews>
  <sheetFormatPr defaultRowHeight="14.5" x14ac:dyDescent="0.35"/>
  <cols>
    <col min="1" max="1" width="13.453125" customWidth="1"/>
    <col min="2" max="2" width="33.1796875" customWidth="1"/>
    <col min="3" max="3" width="63.90625" customWidth="1"/>
    <col min="4" max="4" width="27.90625" customWidth="1"/>
  </cols>
  <sheetData>
    <row r="1" spans="1:4" s="16" customFormat="1" x14ac:dyDescent="0.35">
      <c r="A1" s="16" t="s">
        <v>0</v>
      </c>
      <c r="B1" s="16" t="s">
        <v>1</v>
      </c>
      <c r="C1" s="16" t="s">
        <v>97</v>
      </c>
      <c r="D1" s="16" t="s">
        <v>125</v>
      </c>
    </row>
    <row r="2" spans="1:4" ht="29" x14ac:dyDescent="0.35">
      <c r="A2" s="12" t="s">
        <v>98</v>
      </c>
      <c r="B2" s="6" t="s">
        <v>99</v>
      </c>
      <c r="C2" s="15" t="s">
        <v>100</v>
      </c>
      <c r="D2" s="6">
        <v>20</v>
      </c>
    </row>
    <row r="3" spans="1:4" x14ac:dyDescent="0.35">
      <c r="A3" s="13"/>
      <c r="B3" s="6"/>
      <c r="C3" s="7" t="s">
        <v>101</v>
      </c>
      <c r="D3" s="6"/>
    </row>
    <row r="4" spans="1:4" x14ac:dyDescent="0.35">
      <c r="A4" s="14"/>
      <c r="B4" s="6"/>
      <c r="C4" s="7" t="s">
        <v>118</v>
      </c>
      <c r="D4" s="6"/>
    </row>
    <row r="5" spans="1:4" s="11" customFormat="1" x14ac:dyDescent="0.35">
      <c r="A5" s="9" t="s">
        <v>98</v>
      </c>
      <c r="B5" s="9" t="s">
        <v>119</v>
      </c>
      <c r="C5" s="10" t="s">
        <v>120</v>
      </c>
      <c r="D5" s="9">
        <v>20</v>
      </c>
    </row>
    <row r="6" spans="1:4" s="11" customFormat="1" x14ac:dyDescent="0.35">
      <c r="A6" s="9"/>
      <c r="B6" s="9"/>
      <c r="C6" s="10" t="s">
        <v>121</v>
      </c>
      <c r="D6" s="9"/>
    </row>
    <row r="7" spans="1:4" s="11" customFormat="1" ht="29" x14ac:dyDescent="0.35">
      <c r="A7" s="9"/>
      <c r="B7" s="9"/>
      <c r="C7" s="10" t="s">
        <v>122</v>
      </c>
      <c r="D7" s="9"/>
    </row>
    <row r="8" spans="1:4" s="11" customFormat="1" x14ac:dyDescent="0.35">
      <c r="A8" s="9"/>
      <c r="B8" s="9"/>
      <c r="C8" s="10" t="s">
        <v>123</v>
      </c>
      <c r="D8" s="9"/>
    </row>
    <row r="9" spans="1:4" x14ac:dyDescent="0.35">
      <c r="A9" s="6" t="s">
        <v>102</v>
      </c>
      <c r="B9" s="6" t="s">
        <v>103</v>
      </c>
      <c r="C9" s="7" t="s">
        <v>104</v>
      </c>
      <c r="D9" s="6">
        <v>20</v>
      </c>
    </row>
    <row r="10" spans="1:4" x14ac:dyDescent="0.35">
      <c r="A10" s="6"/>
      <c r="B10" s="6"/>
      <c r="C10" s="7" t="s">
        <v>105</v>
      </c>
      <c r="D10" s="6"/>
    </row>
    <row r="11" spans="1:4" x14ac:dyDescent="0.35">
      <c r="A11" s="6"/>
      <c r="B11" s="6"/>
      <c r="C11" s="7" t="s">
        <v>124</v>
      </c>
      <c r="D11" s="6"/>
    </row>
    <row r="12" spans="1:4" s="11" customFormat="1" ht="29" x14ac:dyDescent="0.35">
      <c r="A12" s="9" t="s">
        <v>106</v>
      </c>
      <c r="B12" s="9" t="s">
        <v>107</v>
      </c>
      <c r="C12" s="10" t="s">
        <v>108</v>
      </c>
      <c r="D12" s="9">
        <v>20</v>
      </c>
    </row>
    <row r="13" spans="1:4" s="11" customFormat="1" x14ac:dyDescent="0.35">
      <c r="A13" s="9"/>
      <c r="B13" s="9"/>
      <c r="C13" s="10" t="s">
        <v>109</v>
      </c>
      <c r="D13" s="9"/>
    </row>
    <row r="14" spans="1:4" s="11" customFormat="1" ht="29" x14ac:dyDescent="0.35">
      <c r="A14" s="9"/>
      <c r="B14" s="9"/>
      <c r="C14" s="10" t="s">
        <v>110</v>
      </c>
      <c r="D14" s="9"/>
    </row>
    <row r="15" spans="1:4" ht="29" x14ac:dyDescent="0.35">
      <c r="A15" s="6" t="s">
        <v>111</v>
      </c>
      <c r="B15" s="6" t="s">
        <v>112</v>
      </c>
      <c r="C15" s="7" t="s">
        <v>113</v>
      </c>
      <c r="D15" s="6">
        <v>20</v>
      </c>
    </row>
    <row r="16" spans="1:4" ht="29" x14ac:dyDescent="0.35">
      <c r="A16" s="6"/>
      <c r="B16" s="6"/>
      <c r="C16" s="7" t="s">
        <v>114</v>
      </c>
      <c r="D16" s="6"/>
    </row>
    <row r="17" spans="1:4" x14ac:dyDescent="0.35">
      <c r="A17" s="6"/>
      <c r="B17" s="6"/>
      <c r="C17" s="7" t="s">
        <v>115</v>
      </c>
      <c r="D17" s="6"/>
    </row>
    <row r="18" spans="1:4" x14ac:dyDescent="0.35">
      <c r="A18" s="8" t="s">
        <v>116</v>
      </c>
      <c r="B18" s="8" t="s">
        <v>117</v>
      </c>
      <c r="C18" s="7"/>
      <c r="D18" s="8">
        <f>SUM(D2:D17)</f>
        <v>100</v>
      </c>
    </row>
    <row r="20" spans="1:4" x14ac:dyDescent="0.35">
      <c r="B20" t="s">
        <v>131</v>
      </c>
      <c r="D20">
        <f>0.1*D18</f>
        <v>10</v>
      </c>
    </row>
  </sheetData>
  <mergeCells count="15">
    <mergeCell ref="A15:A17"/>
    <mergeCell ref="B15:B17"/>
    <mergeCell ref="D15:D17"/>
    <mergeCell ref="A2:A4"/>
    <mergeCell ref="B2:B4"/>
    <mergeCell ref="D2:D4"/>
    <mergeCell ref="A5:A8"/>
    <mergeCell ref="B5:B8"/>
    <mergeCell ref="D5:D8"/>
    <mergeCell ref="A9:A11"/>
    <mergeCell ref="B9:B11"/>
    <mergeCell ref="D9:D11"/>
    <mergeCell ref="A12:A14"/>
    <mergeCell ref="B12:B14"/>
    <mergeCell ref="D12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opLeftCell="A22" zoomScaleNormal="100" workbookViewId="0">
      <selection activeCell="C38" sqref="C38"/>
    </sheetView>
  </sheetViews>
  <sheetFormatPr defaultColWidth="8.54296875" defaultRowHeight="14.5" x14ac:dyDescent="0.35"/>
  <cols>
    <col min="2" max="2" width="64.1796875" customWidth="1"/>
    <col min="3" max="3" width="33" customWidth="1"/>
  </cols>
  <sheetData>
    <row r="1" spans="1:4" x14ac:dyDescent="0.35">
      <c r="A1" t="s">
        <v>0</v>
      </c>
      <c r="B1" t="s">
        <v>1</v>
      </c>
      <c r="D1" t="s">
        <v>2</v>
      </c>
    </row>
    <row r="2" spans="1:4" x14ac:dyDescent="0.35">
      <c r="A2" t="s">
        <v>78</v>
      </c>
      <c r="B2" t="s">
        <v>3</v>
      </c>
      <c r="C2">
        <v>5</v>
      </c>
    </row>
    <row r="3" spans="1:4" x14ac:dyDescent="0.35">
      <c r="B3" t="s">
        <v>84</v>
      </c>
    </row>
    <row r="4" spans="1:4" x14ac:dyDescent="0.35">
      <c r="B4" t="s">
        <v>4</v>
      </c>
    </row>
    <row r="5" spans="1:4" x14ac:dyDescent="0.35">
      <c r="B5" t="s">
        <v>5</v>
      </c>
    </row>
    <row r="6" spans="1:4" x14ac:dyDescent="0.35">
      <c r="A6" t="s">
        <v>6</v>
      </c>
      <c r="B6" t="s">
        <v>7</v>
      </c>
      <c r="C6">
        <v>10</v>
      </c>
    </row>
    <row r="7" spans="1:4" x14ac:dyDescent="0.35">
      <c r="B7" t="s">
        <v>8</v>
      </c>
    </row>
    <row r="8" spans="1:4" x14ac:dyDescent="0.35">
      <c r="B8" t="s">
        <v>9</v>
      </c>
    </row>
    <row r="9" spans="1:4" x14ac:dyDescent="0.35">
      <c r="B9" t="s">
        <v>81</v>
      </c>
    </row>
    <row r="10" spans="1:4" x14ac:dyDescent="0.35">
      <c r="B10" t="s">
        <v>10</v>
      </c>
    </row>
    <row r="11" spans="1:4" x14ac:dyDescent="0.35">
      <c r="B11" t="s">
        <v>11</v>
      </c>
    </row>
    <row r="12" spans="1:4" x14ac:dyDescent="0.35">
      <c r="A12" t="s">
        <v>12</v>
      </c>
      <c r="B12" t="s">
        <v>13</v>
      </c>
      <c r="C12">
        <v>10</v>
      </c>
    </row>
    <row r="13" spans="1:4" x14ac:dyDescent="0.35">
      <c r="B13" t="s">
        <v>95</v>
      </c>
    </row>
    <row r="16" spans="1:4" x14ac:dyDescent="0.35">
      <c r="A16" t="s">
        <v>12</v>
      </c>
      <c r="B16" t="s">
        <v>14</v>
      </c>
    </row>
    <row r="17" spans="1:3" x14ac:dyDescent="0.35">
      <c r="B17" t="s">
        <v>15</v>
      </c>
      <c r="C17">
        <v>10</v>
      </c>
    </row>
    <row r="18" spans="1:3" x14ac:dyDescent="0.35">
      <c r="B18" t="s">
        <v>83</v>
      </c>
    </row>
    <row r="19" spans="1:3" x14ac:dyDescent="0.35">
      <c r="B19" t="s">
        <v>82</v>
      </c>
    </row>
    <row r="20" spans="1:3" x14ac:dyDescent="0.35">
      <c r="B20" t="s">
        <v>96</v>
      </c>
      <c r="C20">
        <v>20</v>
      </c>
    </row>
    <row r="21" spans="1:3" s="2" customFormat="1" x14ac:dyDescent="0.35">
      <c r="A21" s="2" t="s">
        <v>12</v>
      </c>
      <c r="B21" s="2" t="s">
        <v>94</v>
      </c>
      <c r="C21" s="2">
        <v>20</v>
      </c>
    </row>
    <row r="22" spans="1:3" x14ac:dyDescent="0.35">
      <c r="B22" t="s">
        <v>71</v>
      </c>
    </row>
    <row r="23" spans="1:3" x14ac:dyDescent="0.35">
      <c r="A23" t="s">
        <v>18</v>
      </c>
      <c r="B23" t="s">
        <v>16</v>
      </c>
      <c r="C23">
        <v>2</v>
      </c>
    </row>
    <row r="24" spans="1:3" x14ac:dyDescent="0.35">
      <c r="B24" t="s">
        <v>17</v>
      </c>
    </row>
    <row r="28" spans="1:3" s="2" customFormat="1" x14ac:dyDescent="0.35">
      <c r="A28" s="2" t="s">
        <v>18</v>
      </c>
      <c r="B28" s="2" t="s">
        <v>79</v>
      </c>
      <c r="C28" s="2">
        <v>20</v>
      </c>
    </row>
    <row r="30" spans="1:3" x14ac:dyDescent="0.35">
      <c r="A30" t="s">
        <v>18</v>
      </c>
      <c r="B30" t="s">
        <v>80</v>
      </c>
      <c r="C30">
        <v>3</v>
      </c>
    </row>
    <row r="31" spans="1:3" x14ac:dyDescent="0.35">
      <c r="A31" t="s">
        <v>19</v>
      </c>
      <c r="C31">
        <f>SUM(C2:C30)</f>
        <v>100</v>
      </c>
    </row>
    <row r="33" spans="1:3" x14ac:dyDescent="0.35">
      <c r="A33" t="s">
        <v>20</v>
      </c>
      <c r="C33">
        <f>0.15*C31</f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opLeftCell="A12" zoomScaleNormal="100" workbookViewId="0">
      <selection activeCell="C27" sqref="C27"/>
    </sheetView>
  </sheetViews>
  <sheetFormatPr defaultColWidth="8.54296875" defaultRowHeight="14.5" x14ac:dyDescent="0.35"/>
  <cols>
    <col min="2" max="2" width="75.1796875" customWidth="1"/>
    <col min="4" max="4" width="25.453125" customWidth="1"/>
  </cols>
  <sheetData>
    <row r="1" spans="1:9" x14ac:dyDescent="0.35">
      <c r="A1" t="s">
        <v>0</v>
      </c>
      <c r="B1" t="s">
        <v>1</v>
      </c>
      <c r="D1" t="s">
        <v>2</v>
      </c>
      <c r="I1" t="s">
        <v>21</v>
      </c>
    </row>
    <row r="2" spans="1:9" x14ac:dyDescent="0.35">
      <c r="A2" t="s">
        <v>22</v>
      </c>
      <c r="B2" t="s">
        <v>23</v>
      </c>
    </row>
    <row r="3" spans="1:9" x14ac:dyDescent="0.35">
      <c r="A3" s="1" t="s">
        <v>24</v>
      </c>
      <c r="B3" t="s">
        <v>25</v>
      </c>
    </row>
    <row r="4" spans="1:9" x14ac:dyDescent="0.35">
      <c r="A4" s="1"/>
      <c r="B4" t="s">
        <v>26</v>
      </c>
      <c r="C4">
        <v>5</v>
      </c>
    </row>
    <row r="5" spans="1:9" x14ac:dyDescent="0.35">
      <c r="A5" s="1"/>
      <c r="B5" t="s">
        <v>27</v>
      </c>
      <c r="C5">
        <v>1</v>
      </c>
    </row>
    <row r="6" spans="1:9" x14ac:dyDescent="0.35">
      <c r="A6" s="1"/>
      <c r="B6" t="s">
        <v>28</v>
      </c>
      <c r="C6">
        <v>1</v>
      </c>
    </row>
    <row r="7" spans="1:9" x14ac:dyDescent="0.35">
      <c r="A7" s="1"/>
      <c r="B7" t="s">
        <v>29</v>
      </c>
      <c r="C7">
        <v>1</v>
      </c>
    </row>
    <row r="8" spans="1:9" x14ac:dyDescent="0.35">
      <c r="A8" s="1"/>
      <c r="B8" t="s">
        <v>30</v>
      </c>
      <c r="C8">
        <v>1</v>
      </c>
    </row>
    <row r="9" spans="1:9" s="2" customFormat="1" x14ac:dyDescent="0.35">
      <c r="A9" s="3" t="s">
        <v>31</v>
      </c>
      <c r="B9" s="2" t="s">
        <v>85</v>
      </c>
      <c r="C9" s="2">
        <v>20</v>
      </c>
    </row>
    <row r="10" spans="1:9" x14ac:dyDescent="0.35">
      <c r="A10" s="1" t="s">
        <v>32</v>
      </c>
      <c r="B10" t="s">
        <v>33</v>
      </c>
      <c r="C10">
        <v>20</v>
      </c>
    </row>
    <row r="11" spans="1:9" x14ac:dyDescent="0.35">
      <c r="A11" s="1" t="s">
        <v>34</v>
      </c>
      <c r="B11" t="s">
        <v>35</v>
      </c>
    </row>
    <row r="12" spans="1:9" x14ac:dyDescent="0.35">
      <c r="A12" t="s">
        <v>22</v>
      </c>
      <c r="B12" t="s">
        <v>36</v>
      </c>
    </row>
    <row r="13" spans="1:9" x14ac:dyDescent="0.35">
      <c r="A13" s="1" t="s">
        <v>24</v>
      </c>
      <c r="B13" t="s">
        <v>37</v>
      </c>
    </row>
    <row r="14" spans="1:9" x14ac:dyDescent="0.35">
      <c r="A14" s="1"/>
      <c r="B14" t="s">
        <v>38</v>
      </c>
      <c r="C14">
        <v>5</v>
      </c>
    </row>
    <row r="15" spans="1:9" x14ac:dyDescent="0.35">
      <c r="A15" s="1"/>
      <c r="B15" t="s">
        <v>39</v>
      </c>
      <c r="C15">
        <v>1</v>
      </c>
    </row>
    <row r="16" spans="1:9" x14ac:dyDescent="0.35">
      <c r="A16" s="1"/>
      <c r="B16" t="s">
        <v>28</v>
      </c>
      <c r="C16">
        <v>1</v>
      </c>
    </row>
    <row r="17" spans="1:3" x14ac:dyDescent="0.35">
      <c r="A17" s="1"/>
      <c r="B17" t="s">
        <v>29</v>
      </c>
      <c r="C17">
        <v>1</v>
      </c>
    </row>
    <row r="18" spans="1:3" x14ac:dyDescent="0.35">
      <c r="A18" s="1"/>
      <c r="B18" t="s">
        <v>30</v>
      </c>
      <c r="C18">
        <v>1</v>
      </c>
    </row>
    <row r="19" spans="1:3" s="2" customFormat="1" x14ac:dyDescent="0.35">
      <c r="A19" s="3" t="s">
        <v>31</v>
      </c>
      <c r="B19" s="2" t="s">
        <v>86</v>
      </c>
      <c r="C19" s="2">
        <v>20</v>
      </c>
    </row>
    <row r="20" spans="1:3" x14ac:dyDescent="0.35">
      <c r="A20" s="1" t="s">
        <v>32</v>
      </c>
      <c r="B20" t="s">
        <v>40</v>
      </c>
      <c r="C20">
        <v>20</v>
      </c>
    </row>
    <row r="21" spans="1:3" x14ac:dyDescent="0.35">
      <c r="A21" s="1" t="s">
        <v>34</v>
      </c>
      <c r="B21" t="s">
        <v>35</v>
      </c>
    </row>
    <row r="22" spans="1:3" s="5" customFormat="1" x14ac:dyDescent="0.35">
      <c r="A22" s="4"/>
      <c r="B22" s="5" t="s">
        <v>68</v>
      </c>
      <c r="C22" s="5">
        <v>1</v>
      </c>
    </row>
    <row r="23" spans="1:3" s="5" customFormat="1" x14ac:dyDescent="0.35">
      <c r="A23" s="4"/>
      <c r="B23" s="5" t="s">
        <v>69</v>
      </c>
      <c r="C23" s="5">
        <v>1</v>
      </c>
    </row>
    <row r="24" spans="1:3" x14ac:dyDescent="0.35">
      <c r="A24" t="s">
        <v>19</v>
      </c>
      <c r="C24">
        <f>SUM(C2:C23)</f>
        <v>100</v>
      </c>
    </row>
    <row r="26" spans="1:3" x14ac:dyDescent="0.35">
      <c r="A26" t="s">
        <v>41</v>
      </c>
      <c r="C26">
        <f>0.3*C24</f>
        <v>30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topLeftCell="A8" zoomScaleNormal="100" workbookViewId="0">
      <selection activeCell="C23" sqref="C23"/>
    </sheetView>
  </sheetViews>
  <sheetFormatPr defaultColWidth="8.54296875" defaultRowHeight="14.5" x14ac:dyDescent="0.35"/>
  <cols>
    <col min="2" max="2" width="93.1796875" customWidth="1"/>
  </cols>
  <sheetData>
    <row r="1" spans="1:9" x14ac:dyDescent="0.35">
      <c r="A1" t="s">
        <v>0</v>
      </c>
      <c r="B1" t="s">
        <v>1</v>
      </c>
      <c r="D1" t="s">
        <v>2</v>
      </c>
      <c r="I1" t="s">
        <v>21</v>
      </c>
    </row>
    <row r="2" spans="1:9" x14ac:dyDescent="0.35">
      <c r="A2" t="s">
        <v>42</v>
      </c>
      <c r="B2" t="s">
        <v>43</v>
      </c>
      <c r="C2">
        <v>1</v>
      </c>
    </row>
    <row r="3" spans="1:9" x14ac:dyDescent="0.35">
      <c r="A3" t="s">
        <v>42</v>
      </c>
      <c r="B3" t="s">
        <v>44</v>
      </c>
      <c r="C3">
        <v>3</v>
      </c>
    </row>
    <row r="4" spans="1:9" x14ac:dyDescent="0.35">
      <c r="A4" t="s">
        <v>42</v>
      </c>
      <c r="B4" t="s">
        <v>45</v>
      </c>
      <c r="C4">
        <v>1</v>
      </c>
    </row>
    <row r="5" spans="1:9" x14ac:dyDescent="0.35">
      <c r="A5" t="s">
        <v>42</v>
      </c>
      <c r="B5" t="s">
        <v>46</v>
      </c>
      <c r="C5">
        <v>10</v>
      </c>
    </row>
    <row r="6" spans="1:9" x14ac:dyDescent="0.35">
      <c r="A6" t="s">
        <v>47</v>
      </c>
      <c r="B6" t="s">
        <v>48</v>
      </c>
      <c r="C6">
        <v>5</v>
      </c>
    </row>
    <row r="7" spans="1:9" x14ac:dyDescent="0.35">
      <c r="A7" t="s">
        <v>47</v>
      </c>
      <c r="B7" t="s">
        <v>49</v>
      </c>
      <c r="C7">
        <v>10</v>
      </c>
    </row>
    <row r="8" spans="1:9" x14ac:dyDescent="0.35">
      <c r="A8" t="s">
        <v>47</v>
      </c>
      <c r="B8" t="s">
        <v>50</v>
      </c>
      <c r="C8">
        <v>10</v>
      </c>
    </row>
    <row r="9" spans="1:9" x14ac:dyDescent="0.35">
      <c r="A9" t="s">
        <v>47</v>
      </c>
      <c r="B9" t="s">
        <v>51</v>
      </c>
      <c r="C9">
        <v>5</v>
      </c>
    </row>
    <row r="10" spans="1:9" x14ac:dyDescent="0.35">
      <c r="A10" t="s">
        <v>47</v>
      </c>
      <c r="B10" t="s">
        <v>52</v>
      </c>
      <c r="C10">
        <v>5</v>
      </c>
    </row>
    <row r="11" spans="1:9" s="2" customFormat="1" x14ac:dyDescent="0.35">
      <c r="A11" s="2" t="s">
        <v>53</v>
      </c>
      <c r="B11" s="2" t="s">
        <v>54</v>
      </c>
      <c r="C11" s="2">
        <v>40</v>
      </c>
    </row>
    <row r="12" spans="1:9" x14ac:dyDescent="0.35">
      <c r="A12" t="s">
        <v>53</v>
      </c>
      <c r="B12" t="s">
        <v>55</v>
      </c>
      <c r="C12">
        <v>5</v>
      </c>
    </row>
    <row r="16" spans="1:9" x14ac:dyDescent="0.35">
      <c r="B16" t="s">
        <v>56</v>
      </c>
      <c r="C16">
        <v>5</v>
      </c>
    </row>
    <row r="19" spans="1:3" x14ac:dyDescent="0.35">
      <c r="A19" t="s">
        <v>21</v>
      </c>
      <c r="C19">
        <f>SUM(C2:C16)</f>
        <v>100</v>
      </c>
    </row>
    <row r="22" spans="1:3" x14ac:dyDescent="0.35">
      <c r="C22">
        <f>0.2*C19</f>
        <v>20</v>
      </c>
    </row>
    <row r="23" spans="1:3" x14ac:dyDescent="0.35">
      <c r="A23" t="s">
        <v>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workbookViewId="0">
      <selection activeCell="F15" sqref="F15"/>
    </sheetView>
  </sheetViews>
  <sheetFormatPr defaultColWidth="8.54296875" defaultRowHeight="14.5" x14ac:dyDescent="0.35"/>
  <cols>
    <col min="2" max="2" width="52.1796875" customWidth="1"/>
  </cols>
  <sheetData>
    <row r="1" spans="1:6" x14ac:dyDescent="0.35">
      <c r="A1" t="s">
        <v>0</v>
      </c>
      <c r="B1" t="s">
        <v>1</v>
      </c>
      <c r="D1" t="s">
        <v>2</v>
      </c>
      <c r="F1" t="s">
        <v>126</v>
      </c>
    </row>
    <row r="2" spans="1:6" x14ac:dyDescent="0.35">
      <c r="A2" t="s">
        <v>53</v>
      </c>
      <c r="D2" t="s">
        <v>57</v>
      </c>
    </row>
    <row r="3" spans="1:6" x14ac:dyDescent="0.35">
      <c r="B3" t="s">
        <v>87</v>
      </c>
      <c r="F3">
        <v>20</v>
      </c>
    </row>
    <row r="4" spans="1:6" x14ac:dyDescent="0.35">
      <c r="B4" t="s">
        <v>89</v>
      </c>
      <c r="F4">
        <v>20</v>
      </c>
    </row>
    <row r="5" spans="1:6" x14ac:dyDescent="0.35">
      <c r="B5" t="s">
        <v>88</v>
      </c>
      <c r="F5">
        <v>20</v>
      </c>
    </row>
    <row r="6" spans="1:6" x14ac:dyDescent="0.35">
      <c r="B6" t="s">
        <v>127</v>
      </c>
      <c r="F6">
        <v>20</v>
      </c>
    </row>
    <row r="7" spans="1:6" x14ac:dyDescent="0.35">
      <c r="B7" t="s">
        <v>128</v>
      </c>
      <c r="F7">
        <v>20</v>
      </c>
    </row>
    <row r="8" spans="1:6" x14ac:dyDescent="0.35">
      <c r="A8" t="s">
        <v>58</v>
      </c>
    </row>
    <row r="12" spans="1:6" x14ac:dyDescent="0.35">
      <c r="A12" t="s">
        <v>129</v>
      </c>
      <c r="F12">
        <f>SUM(F3:F7)</f>
        <v>100</v>
      </c>
    </row>
    <row r="14" spans="1:6" x14ac:dyDescent="0.35">
      <c r="F14">
        <f>0.1*F12</f>
        <v>10</v>
      </c>
    </row>
    <row r="15" spans="1:6" x14ac:dyDescent="0.35">
      <c r="A15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zoomScaleNormal="100" workbookViewId="0">
      <selection activeCell="C13" sqref="C13"/>
    </sheetView>
  </sheetViews>
  <sheetFormatPr defaultColWidth="8.54296875" defaultRowHeight="14.5" x14ac:dyDescent="0.35"/>
  <cols>
    <col min="2" max="2" width="76.1796875" customWidth="1"/>
  </cols>
  <sheetData>
    <row r="1" spans="1:4" x14ac:dyDescent="0.35">
      <c r="A1" t="s">
        <v>0</v>
      </c>
      <c r="B1" t="s">
        <v>1</v>
      </c>
      <c r="D1" t="s">
        <v>2</v>
      </c>
    </row>
    <row r="2" spans="1:4" x14ac:dyDescent="0.35">
      <c r="A2" t="s">
        <v>53</v>
      </c>
      <c r="B2" t="s">
        <v>90</v>
      </c>
    </row>
    <row r="3" spans="1:4" x14ac:dyDescent="0.35">
      <c r="B3" t="s">
        <v>59</v>
      </c>
      <c r="C3">
        <v>20</v>
      </c>
    </row>
    <row r="4" spans="1:4" x14ac:dyDescent="0.35">
      <c r="B4" t="s">
        <v>60</v>
      </c>
      <c r="C4">
        <v>20</v>
      </c>
    </row>
    <row r="5" spans="1:4" x14ac:dyDescent="0.35">
      <c r="B5" t="s">
        <v>91</v>
      </c>
      <c r="C5">
        <v>20</v>
      </c>
    </row>
    <row r="6" spans="1:4" x14ac:dyDescent="0.35">
      <c r="B6" t="s">
        <v>92</v>
      </c>
      <c r="C6">
        <v>20</v>
      </c>
    </row>
    <row r="7" spans="1:4" x14ac:dyDescent="0.35">
      <c r="B7" t="s">
        <v>93</v>
      </c>
      <c r="C7">
        <v>20</v>
      </c>
    </row>
    <row r="9" spans="1:4" x14ac:dyDescent="0.35">
      <c r="A9" t="s">
        <v>19</v>
      </c>
      <c r="C9">
        <f>SUM(C3:C7)</f>
        <v>100</v>
      </c>
    </row>
    <row r="12" spans="1:4" x14ac:dyDescent="0.35">
      <c r="A12" t="s">
        <v>41</v>
      </c>
      <c r="C12">
        <f>0.1*C9</f>
        <v>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topLeftCell="A3" zoomScale="188" zoomScaleNormal="188" workbookViewId="0">
      <selection activeCell="A7" sqref="A7"/>
    </sheetView>
  </sheetViews>
  <sheetFormatPr defaultColWidth="8.54296875" defaultRowHeight="14.5" x14ac:dyDescent="0.35"/>
  <cols>
    <col min="1" max="1" width="174.54296875" customWidth="1"/>
  </cols>
  <sheetData>
    <row r="1" spans="1:1" x14ac:dyDescent="0.35">
      <c r="A1" t="s">
        <v>70</v>
      </c>
    </row>
    <row r="2" spans="1:1" x14ac:dyDescent="0.35">
      <c r="A2" t="s">
        <v>61</v>
      </c>
    </row>
    <row r="3" spans="1:1" x14ac:dyDescent="0.35">
      <c r="A3" t="s">
        <v>62</v>
      </c>
    </row>
    <row r="4" spans="1:1" x14ac:dyDescent="0.35">
      <c r="A4" t="s">
        <v>77</v>
      </c>
    </row>
    <row r="5" spans="1:1" x14ac:dyDescent="0.35">
      <c r="A5" t="s">
        <v>63</v>
      </c>
    </row>
    <row r="6" spans="1:1" x14ac:dyDescent="0.35">
      <c r="A6" t="s">
        <v>64</v>
      </c>
    </row>
    <row r="7" spans="1:1" x14ac:dyDescent="0.35">
      <c r="A7" t="s">
        <v>65</v>
      </c>
    </row>
    <row r="8" spans="1:1" x14ac:dyDescent="0.35">
      <c r="A8" t="s">
        <v>66</v>
      </c>
    </row>
    <row r="9" spans="1:1" x14ac:dyDescent="0.35">
      <c r="A9" t="s">
        <v>67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6679-DFC0-415E-961F-5260DBCC64CE}">
  <dimension ref="A1"/>
  <sheetViews>
    <sheetView workbookViewId="0">
      <selection activeCell="A2" sqref="A2"/>
    </sheetView>
  </sheetViews>
  <sheetFormatPr defaultRowHeight="14.5" x14ac:dyDescent="0.35"/>
  <cols>
    <col min="2" max="2" width="8.7265625" customWidth="1"/>
  </cols>
  <sheetData>
    <row r="1" spans="1:1" x14ac:dyDescent="0.35">
      <c r="A1" t="s">
        <v>130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72AB137375645B6F2582425CE4205" ma:contentTypeVersion="5" ma:contentTypeDescription="Create a new document." ma:contentTypeScope="" ma:versionID="c3247b0083f9fd8ac22cd4273bee1fd5">
  <xsd:schema xmlns:xsd="http://www.w3.org/2001/XMLSchema" xmlns:xs="http://www.w3.org/2001/XMLSchema" xmlns:p="http://schemas.microsoft.com/office/2006/metadata/properties" xmlns:ns2="53dde7e7-158e-43f2-a998-f919b8b31d20" xmlns:ns3="0a4a3c8d-b247-4b10-88e3-498a3971221f" targetNamespace="http://schemas.microsoft.com/office/2006/metadata/properties" ma:root="true" ma:fieldsID="4c8e13e2ced4b87645aa0fe92cd81872" ns2:_="" ns3:_="">
    <xsd:import namespace="53dde7e7-158e-43f2-a998-f919b8b31d20"/>
    <xsd:import namespace="0a4a3c8d-b247-4b10-88e3-498a39712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de7e7-158e-43f2-a998-f919b8b31d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a3c8d-b247-4b10-88e3-498a39712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a4a3c8d-b247-4b10-88e3-498a3971221f">
      <UserInfo>
        <DisplayName>Marco Perez Hernandez</DisplayName>
        <AccountId>16</AccountId>
        <AccountType/>
      </UserInfo>
      <UserInfo>
        <DisplayName>Mazhar Malik</DisplayName>
        <AccountId>21</AccountId>
        <AccountType/>
      </UserInfo>
      <UserInfo>
        <DisplayName>Jun Hong</DisplayName>
        <AccountId>18</AccountId>
        <AccountType/>
      </UserInfo>
      <UserInfo>
        <DisplayName>Elisa Covato</DisplayName>
        <AccountId>14</AccountId>
        <AccountType/>
      </UserInfo>
      <UserInfo>
        <DisplayName>Larry Bull</DisplayName>
        <AccountId>19</AccountId>
        <AccountType/>
      </UserInfo>
      <UserInfo>
        <DisplayName>David Wyatt</DisplayName>
        <AccountId>13</AccountId>
        <AccountType/>
      </UserInfo>
      <UserInfo>
        <DisplayName>Antisthenis Tsompanas</DisplayName>
        <AccountId>20</AccountId>
        <AccountType/>
      </UserInfo>
      <UserInfo>
        <DisplayName>Nathan Duran</DisplayName>
        <AccountId>17</AccountId>
        <AccountType/>
      </UserInfo>
      <UserInfo>
        <DisplayName>Mehmet Aydin</DisplayName>
        <AccountId>12</AccountId>
        <AccountType/>
      </UserInfo>
      <UserInfo>
        <DisplayName>Jim Smith</DisplayName>
        <AccountId>26</AccountId>
        <AccountType/>
      </UserInfo>
      <UserInfo>
        <DisplayName>Haixia Liu</DisplayName>
        <AccountId>15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F04310-727A-4BAD-B5C3-E4FE81D7E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dde7e7-158e-43f2-a998-f919b8b31d20"/>
    <ds:schemaRef ds:uri="0a4a3c8d-b247-4b10-88e3-498a39712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57FAD2-570E-48AC-903F-BD01EA64ED2A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3dde7e7-158e-43f2-a998-f919b8b31d20"/>
    <ds:schemaRef ds:uri="0a4a3c8d-b247-4b10-88e3-498a3971221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27A19EB-73DA-4734-8EEB-910AD15D66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dataUnderstand</vt:lpstr>
      <vt:lpstr>dataEDA</vt:lpstr>
      <vt:lpstr>train</vt:lpstr>
      <vt:lpstr>Eval-forClassification</vt:lpstr>
      <vt:lpstr>Reflection and Ethics</vt:lpstr>
      <vt:lpstr>Novel</vt:lpstr>
      <vt:lpstr>example of research questions</vt:lpstr>
      <vt:lpstr>jupyternotebook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Haixia Liu</dc:creator>
  <cp:keywords/>
  <dc:description/>
  <cp:lastModifiedBy>Haixia Liu</cp:lastModifiedBy>
  <cp:revision>7</cp:revision>
  <dcterms:created xsi:type="dcterms:W3CDTF">2023-09-30T21:26:22Z</dcterms:created>
  <dcterms:modified xsi:type="dcterms:W3CDTF">2025-10-14T20:08:19Z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0x01010049C72AB137375645B6F2582425CE4205</vt:lpwstr>
  </property>
</Properties>
</file>